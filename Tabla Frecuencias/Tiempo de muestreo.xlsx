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O13" i="1"/>
  <c r="O18" i="1"/>
  <c r="P18" i="1"/>
  <c r="N18" i="1"/>
  <c r="M18" i="1"/>
  <c r="O8" i="1" l="1"/>
  <c r="P8" i="1"/>
  <c r="P13" i="1"/>
  <c r="P23" i="1"/>
  <c r="O23" i="1"/>
  <c r="N23" i="1"/>
  <c r="M23" i="1"/>
  <c r="L23" i="1"/>
  <c r="K23" i="1"/>
  <c r="J23" i="1"/>
  <c r="I23" i="1"/>
  <c r="L18" i="1"/>
  <c r="K18" i="1"/>
  <c r="J18" i="1"/>
  <c r="I18" i="1"/>
  <c r="H18" i="1"/>
  <c r="G18" i="1"/>
  <c r="F18" i="1"/>
  <c r="N13" i="1"/>
  <c r="M13" i="1"/>
  <c r="L13" i="1"/>
  <c r="K13" i="1"/>
  <c r="J13" i="1"/>
  <c r="I13" i="1"/>
  <c r="H13" i="1"/>
  <c r="G13" i="1"/>
  <c r="F13" i="1"/>
  <c r="H23" i="1"/>
  <c r="G23" i="1"/>
  <c r="F23" i="1"/>
  <c r="D23" i="1"/>
  <c r="E23" i="1"/>
  <c r="E18" i="1"/>
  <c r="D18" i="1"/>
  <c r="E13" i="1"/>
  <c r="D13" i="1"/>
  <c r="N8" i="1"/>
  <c r="M8" i="1"/>
  <c r="L8" i="1"/>
  <c r="K8" i="1"/>
  <c r="J8" i="1"/>
  <c r="I8" i="1"/>
  <c r="H8" i="1"/>
  <c r="G8" i="1"/>
  <c r="F8" i="1"/>
  <c r="E8" i="1"/>
</calcChain>
</file>

<file path=xl/sharedStrings.xml><?xml version="1.0" encoding="utf-8"?>
<sst xmlns="http://schemas.openxmlformats.org/spreadsheetml/2006/main" count="116" uniqueCount="18">
  <si>
    <t>25k</t>
  </si>
  <si>
    <t>50k</t>
  </si>
  <si>
    <t>100k</t>
  </si>
  <si>
    <t>1M</t>
  </si>
  <si>
    <t>2M</t>
  </si>
  <si>
    <t>4M</t>
  </si>
  <si>
    <t>8M</t>
  </si>
  <si>
    <t>12M</t>
  </si>
  <si>
    <t>16M</t>
  </si>
  <si>
    <t>24M</t>
  </si>
  <si>
    <t>%&gt;10</t>
  </si>
  <si>
    <t>Baudios /fs</t>
  </si>
  <si>
    <t>Tiempo bit (us)</t>
  </si>
  <si>
    <t>500 K</t>
  </si>
  <si>
    <t>250k</t>
  </si>
  <si>
    <t>200k</t>
  </si>
  <si>
    <t>X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</si>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</sst>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P30"/>
  <sheetViews>
    <sheetView tabSelected="1" topLeftCell="A10" workbookViewId="0">
      <selection activeCell="C35" sqref="C35"/>
    </sheetView>
  </sheetViews>
  <sheetFormatPr baseColWidth="10" defaultColWidth="8.88671875" defaultRowHeight="14.4" x14ac:dyDescent="0.3"/>
  <cols>
    <col min="3" max="3" width="13.109375" customWidth="1"/>
    <col min="4" max="12" width="10.44140625" customWidth="1"/>
    <col min="13" max="13" width="14.44140625" customWidth="1"/>
    <col min="14" max="16" width="10.44140625" customWidth="1"/>
  </cols>
  <sheetData>
    <row r="6" spans="3:16" x14ac:dyDescent="0.3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3:16" x14ac:dyDescent="0.3">
      <c r="C7" s="3" t="s">
        <v>11</v>
      </c>
      <c r="D7" s="3" t="s">
        <v>0</v>
      </c>
      <c r="E7" s="3" t="s">
        <v>1</v>
      </c>
      <c r="F7" s="3" t="s">
        <v>2</v>
      </c>
      <c r="G7" s="3" t="s">
        <v>15</v>
      </c>
      <c r="H7" s="3" t="s">
        <v>14</v>
      </c>
      <c r="I7" s="3" t="s">
        <v>13</v>
      </c>
      <c r="J7" s="3" t="s">
        <v>3</v>
      </c>
      <c r="K7" s="3" t="s">
        <v>4</v>
      </c>
      <c r="L7" s="3" t="s">
        <v>5</v>
      </c>
      <c r="M7" s="3" t="s">
        <v>6</v>
      </c>
      <c r="N7" s="3" t="s">
        <v>7</v>
      </c>
      <c r="O7" s="3" t="s">
        <v>8</v>
      </c>
      <c r="P7" s="3" t="s">
        <v>9</v>
      </c>
    </row>
    <row r="8" spans="3:16" x14ac:dyDescent="0.3">
      <c r="C8" s="2">
        <v>1200</v>
      </c>
      <c r="D8" s="3">
        <f>(25*1000)/C8</f>
        <v>20.833333333333332</v>
      </c>
      <c r="E8" s="3">
        <f>(50*1000)/C8</f>
        <v>41.666666666666664</v>
      </c>
      <c r="F8" s="3">
        <f>(100*1000)/$C$8</f>
        <v>83.333333333333329</v>
      </c>
      <c r="G8" s="3">
        <f>(200*1000)/$C$8</f>
        <v>166.66666666666666</v>
      </c>
      <c r="H8" s="3">
        <f>(250*1000)/$C$8</f>
        <v>208.33333333333334</v>
      </c>
      <c r="I8" s="3">
        <f>(500*1000)/$C$8</f>
        <v>416.66666666666669</v>
      </c>
      <c r="J8" s="3">
        <f>(1000*1000)/$C$8</f>
        <v>833.33333333333337</v>
      </c>
      <c r="K8" s="3">
        <f>(2000*1000)/$C$8</f>
        <v>1666.6666666666667</v>
      </c>
      <c r="L8" s="3">
        <f>(4000*1000)/$C$8</f>
        <v>3333.3333333333335</v>
      </c>
      <c r="M8" s="3">
        <f>(8000*1000)/$C$8</f>
        <v>6666.666666666667</v>
      </c>
      <c r="N8" s="3">
        <f>(12000*1000)/$C$8</f>
        <v>10000</v>
      </c>
      <c r="O8" s="3">
        <f>(16000*1000)/$C$8</f>
        <v>13333.333333333334</v>
      </c>
      <c r="P8" s="3">
        <f>(24000*1000)/$C$8</f>
        <v>20000</v>
      </c>
    </row>
    <row r="9" spans="3:16" x14ac:dyDescent="0.3">
      <c r="C9" s="3" t="s">
        <v>10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  <c r="N9" s="5" t="s">
        <v>17</v>
      </c>
      <c r="O9" s="5" t="s">
        <v>17</v>
      </c>
      <c r="P9" s="5" t="s">
        <v>17</v>
      </c>
    </row>
    <row r="10" spans="3:16" x14ac:dyDescent="0.3">
      <c r="C10" s="3" t="s">
        <v>12</v>
      </c>
      <c r="D10" s="4">
        <v>840</v>
      </c>
      <c r="E10" s="4">
        <v>820</v>
      </c>
      <c r="F10" s="4">
        <v>830</v>
      </c>
      <c r="G10" s="4">
        <v>835</v>
      </c>
      <c r="H10" s="4">
        <v>832</v>
      </c>
      <c r="I10" s="4">
        <v>834</v>
      </c>
      <c r="J10" s="4">
        <v>833</v>
      </c>
      <c r="K10" s="4">
        <v>833.5</v>
      </c>
      <c r="L10" s="4">
        <v>833.25</v>
      </c>
      <c r="M10" s="4">
        <v>833.375</v>
      </c>
      <c r="N10" s="4">
        <v>833.41700000000003</v>
      </c>
      <c r="O10" s="4">
        <v>833.31299999999999</v>
      </c>
      <c r="P10" s="4">
        <v>833.375</v>
      </c>
    </row>
    <row r="12" spans="3:16" x14ac:dyDescent="0.3">
      <c r="C12" s="3" t="s">
        <v>11</v>
      </c>
      <c r="D12" s="3" t="s">
        <v>0</v>
      </c>
      <c r="E12" s="3" t="s">
        <v>1</v>
      </c>
      <c r="F12" s="3" t="s">
        <v>2</v>
      </c>
      <c r="G12" s="3" t="s">
        <v>15</v>
      </c>
      <c r="H12" s="3" t="s">
        <v>14</v>
      </c>
      <c r="I12" s="3" t="s">
        <v>13</v>
      </c>
      <c r="J12" s="3" t="s">
        <v>3</v>
      </c>
      <c r="K12" s="3" t="s">
        <v>4</v>
      </c>
      <c r="L12" s="3" t="s">
        <v>5</v>
      </c>
      <c r="M12" s="3" t="s">
        <v>6</v>
      </c>
      <c r="N12" s="3" t="s">
        <v>7</v>
      </c>
      <c r="O12" s="3" t="s">
        <v>8</v>
      </c>
      <c r="P12" s="3" t="s">
        <v>9</v>
      </c>
    </row>
    <row r="13" spans="3:16" x14ac:dyDescent="0.3">
      <c r="C13" s="2">
        <v>9600</v>
      </c>
      <c r="D13" s="3">
        <f>(25*1000)/C13</f>
        <v>2.6041666666666665</v>
      </c>
      <c r="E13" s="3">
        <f>(50*1000)/C13</f>
        <v>5.208333333333333</v>
      </c>
      <c r="F13" s="3">
        <f>(100*1000)/$C$13</f>
        <v>10.416666666666666</v>
      </c>
      <c r="G13" s="3">
        <f>(200*1000)/$C$13</f>
        <v>20.833333333333332</v>
      </c>
      <c r="H13" s="3">
        <f>(250*1000)/$C$13</f>
        <v>26.041666666666668</v>
      </c>
      <c r="I13" s="3">
        <f>(500*1000)/$C$13</f>
        <v>52.083333333333336</v>
      </c>
      <c r="J13" s="3">
        <f>(1000*1000)/$C$13</f>
        <v>104.16666666666667</v>
      </c>
      <c r="K13" s="3">
        <f>(2000*1000)/$C$13</f>
        <v>208.33333333333334</v>
      </c>
      <c r="L13" s="3">
        <f>(4000*1000)/$C$13</f>
        <v>416.66666666666669</v>
      </c>
      <c r="M13" s="3">
        <f>(8000*1000)/$C$13</f>
        <v>833.33333333333337</v>
      </c>
      <c r="N13" s="3">
        <f>(12000*1000)/$C$13</f>
        <v>1250</v>
      </c>
      <c r="O13" s="3">
        <f>(16000*1000)/$C$13</f>
        <v>1666.6666666666667</v>
      </c>
      <c r="P13" s="3">
        <f>(24000*1000)/$C$13</f>
        <v>2500</v>
      </c>
    </row>
    <row r="14" spans="3:16" x14ac:dyDescent="0.3">
      <c r="C14" s="2" t="s">
        <v>10</v>
      </c>
      <c r="D14" s="3" t="s">
        <v>16</v>
      </c>
      <c r="E14" s="3" t="s">
        <v>16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17</v>
      </c>
      <c r="M14" s="5" t="s">
        <v>17</v>
      </c>
      <c r="N14" s="5" t="s">
        <v>17</v>
      </c>
      <c r="O14" s="5" t="s">
        <v>17</v>
      </c>
      <c r="P14" s="5" t="s">
        <v>17</v>
      </c>
    </row>
    <row r="15" spans="3:16" x14ac:dyDescent="0.3">
      <c r="C15" s="3" t="s">
        <v>12</v>
      </c>
      <c r="D15" s="3">
        <v>80</v>
      </c>
      <c r="E15" s="3">
        <v>100</v>
      </c>
      <c r="F15" s="3">
        <v>100</v>
      </c>
      <c r="G15" s="3">
        <v>100</v>
      </c>
      <c r="H15" s="3">
        <v>108</v>
      </c>
      <c r="I15" s="3">
        <v>104</v>
      </c>
      <c r="J15" s="3">
        <v>105</v>
      </c>
      <c r="K15" s="3">
        <v>104</v>
      </c>
      <c r="L15" s="3">
        <v>104.25</v>
      </c>
      <c r="M15" s="3">
        <v>104.125</v>
      </c>
      <c r="N15" s="3">
        <v>104.167</v>
      </c>
      <c r="O15" s="3">
        <v>104.188</v>
      </c>
      <c r="P15" s="3">
        <v>104.167</v>
      </c>
    </row>
    <row r="17" spans="3:16" x14ac:dyDescent="0.3">
      <c r="C17" s="3" t="s">
        <v>11</v>
      </c>
      <c r="D17" s="3" t="s">
        <v>0</v>
      </c>
      <c r="E17" s="3" t="s">
        <v>1</v>
      </c>
      <c r="F17" s="3" t="s">
        <v>2</v>
      </c>
      <c r="G17" s="3" t="s">
        <v>15</v>
      </c>
      <c r="H17" s="3" t="s">
        <v>14</v>
      </c>
      <c r="I17" s="3" t="s">
        <v>13</v>
      </c>
      <c r="J17" s="3" t="s">
        <v>3</v>
      </c>
      <c r="K17" s="3" t="s">
        <v>4</v>
      </c>
      <c r="L17" s="3" t="s">
        <v>5</v>
      </c>
      <c r="M17" s="3" t="s">
        <v>6</v>
      </c>
      <c r="N17" s="3" t="s">
        <v>7</v>
      </c>
      <c r="O17" s="3" t="s">
        <v>8</v>
      </c>
      <c r="P17" s="3" t="s">
        <v>9</v>
      </c>
    </row>
    <row r="18" spans="3:16" x14ac:dyDescent="0.3">
      <c r="C18" s="2">
        <v>57600</v>
      </c>
      <c r="D18" s="3">
        <f>(25*1000)/C18</f>
        <v>0.43402777777777779</v>
      </c>
      <c r="E18" s="3">
        <f>(50*1000)/C18</f>
        <v>0.86805555555555558</v>
      </c>
      <c r="F18" s="3">
        <f>(100*1000)/$C$18</f>
        <v>1.7361111111111112</v>
      </c>
      <c r="G18" s="3">
        <f>(200*1000)/$C$18</f>
        <v>3.4722222222222223</v>
      </c>
      <c r="H18" s="3">
        <f>(250*1000)/$C$18</f>
        <v>4.3402777777777777</v>
      </c>
      <c r="I18" s="3">
        <f>(500*1000)/$C$18</f>
        <v>8.6805555555555554</v>
      </c>
      <c r="J18" s="3">
        <f>(1000*1000)/$C$18</f>
        <v>17.361111111111111</v>
      </c>
      <c r="K18" s="3">
        <f>(2000*1000)/$C$18</f>
        <v>34.722222222222221</v>
      </c>
      <c r="L18" s="3">
        <f>(4000*1000)/$C$18</f>
        <v>69.444444444444443</v>
      </c>
      <c r="M18" s="3">
        <f>(8000*1000)/$C$18</f>
        <v>138.88888888888889</v>
      </c>
      <c r="N18" s="3">
        <f>(12000*1000)/$C$18</f>
        <v>208.33333333333334</v>
      </c>
      <c r="O18" s="3">
        <f>(16000*1000)/$C$18</f>
        <v>277.77777777777777</v>
      </c>
      <c r="P18" s="3">
        <f>(24000*1000)/$C$18</f>
        <v>416.66666666666669</v>
      </c>
    </row>
    <row r="19" spans="3:16" x14ac:dyDescent="0.3">
      <c r="C19" s="2" t="s">
        <v>10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5" t="s">
        <v>17</v>
      </c>
      <c r="K19" s="5" t="s">
        <v>17</v>
      </c>
      <c r="L19" s="5" t="s">
        <v>17</v>
      </c>
      <c r="M19" s="5" t="s">
        <v>17</v>
      </c>
      <c r="N19" s="5" t="s">
        <v>17</v>
      </c>
      <c r="O19" s="5" t="s">
        <v>17</v>
      </c>
      <c r="P19" s="5" t="s">
        <v>17</v>
      </c>
    </row>
    <row r="20" spans="3:16" x14ac:dyDescent="0.3">
      <c r="C20" s="3" t="s">
        <v>12</v>
      </c>
      <c r="D20" s="3">
        <v>80</v>
      </c>
      <c r="E20" s="3">
        <v>20</v>
      </c>
      <c r="F20" s="3">
        <v>10</v>
      </c>
      <c r="G20" s="3">
        <v>15</v>
      </c>
      <c r="H20" s="3">
        <v>20</v>
      </c>
      <c r="I20" s="3">
        <v>18</v>
      </c>
      <c r="J20" s="3">
        <v>18</v>
      </c>
      <c r="K20" s="3">
        <v>17.5</v>
      </c>
      <c r="L20" s="3">
        <v>17.5</v>
      </c>
      <c r="M20" s="3">
        <v>17.375</v>
      </c>
      <c r="N20" s="3">
        <v>17.332999999999998</v>
      </c>
      <c r="O20" s="3">
        <v>17.375</v>
      </c>
      <c r="P20" s="3">
        <v>17.329999999999998</v>
      </c>
    </row>
    <row r="22" spans="3:16" x14ac:dyDescent="0.3">
      <c r="C22" s="3" t="s">
        <v>11</v>
      </c>
      <c r="D22" s="3" t="s">
        <v>0</v>
      </c>
      <c r="E22" s="3" t="s">
        <v>1</v>
      </c>
      <c r="F22" s="3" t="s">
        <v>2</v>
      </c>
      <c r="G22" s="3" t="s">
        <v>15</v>
      </c>
      <c r="H22" s="3" t="s">
        <v>14</v>
      </c>
      <c r="I22" s="3" t="s">
        <v>13</v>
      </c>
      <c r="J22" s="3" t="s">
        <v>3</v>
      </c>
      <c r="K22" s="3" t="s">
        <v>4</v>
      </c>
      <c r="L22" s="3" t="s">
        <v>5</v>
      </c>
      <c r="M22" s="3" t="s">
        <v>6</v>
      </c>
      <c r="N22" s="3" t="s">
        <v>7</v>
      </c>
      <c r="O22" s="3" t="s">
        <v>8</v>
      </c>
      <c r="P22" s="3" t="s">
        <v>9</v>
      </c>
    </row>
    <row r="23" spans="3:16" x14ac:dyDescent="0.3">
      <c r="C23" s="2">
        <v>115200</v>
      </c>
      <c r="D23" s="3">
        <f>(25*1000)/C23</f>
        <v>0.2170138888888889</v>
      </c>
      <c r="E23" s="3">
        <f>(50*1000)/C23</f>
        <v>0.43402777777777779</v>
      </c>
      <c r="F23" s="3">
        <f>(100*1000)/$C$23</f>
        <v>0.86805555555555558</v>
      </c>
      <c r="G23" s="3">
        <f>(200*1000)/$C$23</f>
        <v>1.7361111111111112</v>
      </c>
      <c r="H23" s="3">
        <f>(250*1000)/$C$23</f>
        <v>2.1701388888888888</v>
      </c>
      <c r="I23" s="3">
        <f>(500*1000)/$C$23</f>
        <v>4.3402777777777777</v>
      </c>
      <c r="J23" s="3">
        <f>(1000*1000)/$C$23</f>
        <v>8.6805555555555554</v>
      </c>
      <c r="K23" s="3">
        <f>(2000*1000)/$C$23</f>
        <v>17.361111111111111</v>
      </c>
      <c r="L23" s="3">
        <f>(4000*1000)/$C$23</f>
        <v>34.722222222222221</v>
      </c>
      <c r="M23" s="3">
        <f>(8000*1000)/$C$23</f>
        <v>69.444444444444443</v>
      </c>
      <c r="N23" s="3">
        <f>(12000*1000)/$C$23</f>
        <v>104.16666666666667</v>
      </c>
      <c r="O23" s="3">
        <f>(16000*1000)/$C$23</f>
        <v>138.88888888888889</v>
      </c>
      <c r="P23" s="3">
        <f>(24000*1000)/$C$23</f>
        <v>208.33333333333334</v>
      </c>
    </row>
    <row r="24" spans="3:16" x14ac:dyDescent="0.3">
      <c r="C24" s="2" t="s">
        <v>10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5" t="s">
        <v>17</v>
      </c>
      <c r="L24" s="5" t="s">
        <v>17</v>
      </c>
      <c r="M24" s="5" t="s">
        <v>17</v>
      </c>
      <c r="N24" s="5" t="s">
        <v>17</v>
      </c>
      <c r="O24" s="5" t="s">
        <v>17</v>
      </c>
      <c r="P24" s="5" t="s">
        <v>17</v>
      </c>
    </row>
    <row r="25" spans="3:16" x14ac:dyDescent="0.3">
      <c r="C25" s="3" t="s">
        <v>12</v>
      </c>
      <c r="D25" s="3">
        <v>40</v>
      </c>
      <c r="E25" s="3">
        <v>20</v>
      </c>
      <c r="F25" s="3">
        <v>10</v>
      </c>
      <c r="G25" s="3">
        <v>10</v>
      </c>
      <c r="H25" s="3">
        <v>8</v>
      </c>
      <c r="I25" s="3">
        <v>8</v>
      </c>
      <c r="J25" s="3">
        <v>8</v>
      </c>
      <c r="K25" s="3">
        <v>8.5</v>
      </c>
      <c r="L25" s="3">
        <v>8.75</v>
      </c>
      <c r="M25" s="3">
        <v>8.75</v>
      </c>
      <c r="N25" s="3">
        <v>8.6669999999999998</v>
      </c>
      <c r="O25" s="3">
        <v>8.6880000000000006</v>
      </c>
      <c r="P25" s="3">
        <v>8.6669999999999998</v>
      </c>
    </row>
    <row r="27" spans="3:16" x14ac:dyDescent="0.3">
      <c r="C27" s="6"/>
    </row>
    <row r="28" spans="3:16" x14ac:dyDescent="0.3">
      <c r="C28" s="7"/>
    </row>
    <row r="29" spans="3:16" x14ac:dyDescent="0.3">
      <c r="C29" s="7"/>
    </row>
    <row r="30" spans="3:16" x14ac:dyDescent="0.3">
      <c r="C30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2026-08-23T19:13:51Z</dcterms:modified>
</cp:coreProperties>
</file>